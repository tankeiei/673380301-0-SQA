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QoO48MQd8xFIkRt5fm3RmQx/CVzXFKNbwJQ69Rf/6fY="/>
    </ext>
  </extLst>
</workbook>
</file>

<file path=xl/sharedStrings.xml><?xml version="1.0" encoding="utf-8"?>
<sst xmlns="http://schemas.openxmlformats.org/spreadsheetml/2006/main" count="200" uniqueCount="91">
  <si>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</si>
  <si>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</si>
  <si>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</si>
  <si>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</si>
  <si>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</si>
  <si>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</si>
  <si>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</si>
  <si>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</si>
  <si>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–</t>
  </si>
  <si>
    <t>Robustness Testing</t>
  </si>
  <si>
    <t xml:space="preserve">3 defects found in robustness tests
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</si>
  <si>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</si>
  <si>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</si>
  <si>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</si>
  <si>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</si>
  <si>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</si>
  <si>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</si>
  <si>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</si>
  <si>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</si>
  <si>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</si>
  <si>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673380301-0</t>
  </si>
  <si>
    <t>min</t>
  </si>
  <si>
    <t xml:space="preserve">Test Strategy: </t>
  </si>
  <si>
    <t>Functional testing - Normal Boundary Value Testing</t>
  </si>
  <si>
    <t xml:space="preserve">Designer: </t>
  </si>
  <si>
    <t>แทนคุณ พันธ์นิกุล</t>
  </si>
  <si>
    <t>min+</t>
  </si>
  <si>
    <t xml:space="preserve">Test Environtment: </t>
  </si>
  <si>
    <t xml:space="preserve">Windows 11, Eclipse, Java 21, JUnit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</si>
  <si>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</si>
  <si>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</si>
  <si>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</si>
  <si>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</si>
  <si>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</si>
  <si>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</si>
  <si>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</si>
  <si>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</si>
  <si>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</si>
  <si>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</si>
  <si>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</si>
  <si>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Standard (6 คะแนน)</t>
  </si>
  <si>
    <t>TC002</t>
  </si>
  <si>
    <t>TC003</t>
  </si>
  <si>
    <t>Standard (8 คะแนน)</t>
  </si>
  <si>
    <t>TC004</t>
  </si>
  <si>
    <t>Standard (11 คะแนน)</t>
  </si>
  <si>
    <t>TC005</t>
  </si>
  <si>
    <t>TC006</t>
  </si>
  <si>
    <t>Standard (10 คะแนน)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</si>
  <si>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</si>
  <si>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</si>
  <si>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</si>
  <si>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</si>
  <si>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</si>
  <si>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</si>
  <si>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</si>
  <si>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</si>
  <si>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</si>
  <si>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-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</si>
  <si>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</si>
  <si>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</si>
  <si>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</si>
  <si>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</si>
  <si>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</si>
  <si>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</si>
  <si>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</si>
  <si>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</si>
  <si>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</si>
  <si>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</si>
  <si>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</si>
  <si>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</si>
  <si>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</si>
  <si>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</si>
  <si>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</si>
  <si>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</si>
  <si>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</si>
  <si>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DEF‑001</t>
  </si>
  <si>
    <t>VO2 Max negative input not handled</t>
  </si>
  <si>
    <t>แทนคุณ พันธ์นิกุล</t>
  </si>
  <si>
    <t>Open</t>
  </si>
  <si>
    <t>Major</t>
  </si>
  <si>
    <t>High</t>
  </si>
  <si>
    <t>โปรแกรมไม่ตรวจสอบค่า VO2 Max &lt; 0 ทำให้เกิด exception</t>
  </si>
  <si>
    <t>DEF‑002</t>
  </si>
  <si>
    <t>RHR below 40 not validated</t>
  </si>
  <si>
    <t>Minor</t>
  </si>
  <si>
    <t>Medium</t>
  </si>
  <si>
    <t>ระบบไม่แจ้งเตือนเมื่อ RHR ต่ำกว่า 40 bpm</t>
  </si>
  <si>
    <t>DEF‑003</t>
  </si>
  <si>
    <t>HRR negative input not handled</t>
  </si>
  <si>
    <t>ค่า HRR ติดลบไม่ถูกตรวจสอบก่อนคำนวณคะแนน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</si>
</sst>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sz val="18.0"/>
      <color rgb="FF467886"/>
      <name val="TH Sarabun PSK"/>
    </font>
    <font>
      <u/>
      <sz val="18.0"/>
      <color theme="10"/>
      <name val="TH Sarabun PSK"/>
    </font>
    <font/>
    <font>
      <sz val="18.0"/>
      <color rgb="FF000000"/>
      <name val="TH Sarabun PSK"/>
    </font>
    <font>
      <sz val="12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2" numFmtId="0" xfId="0" applyBorder="1" applyFont="1"/>
    <xf borderId="3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readingOrder="0"/>
    </xf>
    <xf borderId="7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" fillId="0" fontId="6" numFmtId="0" xfId="0" applyBorder="1" applyFont="1"/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right" vertical="bottom"/>
    </xf>
    <xf borderId="7" fillId="0" fontId="1" numFmtId="0" xfId="0" applyBorder="1" applyFont="1"/>
    <xf borderId="0" fillId="0" fontId="1" numFmtId="0" xfId="0" applyAlignment="1" applyFont="1">
      <alignment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readingOrder="0" vertical="top"/>
    </xf>
    <xf borderId="1" fillId="0" fontId="1" numFmtId="14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1" fillId="0" fontId="7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56"/>
    <col customWidth="1" min="2" max="2" width="17.11"/>
    <col customWidth="1" min="3" max="6" width="9.11"/>
    <col customWidth="1" min="7" max="7" width="39.0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6"/>
      <c r="E3" s="6"/>
      <c r="F3" s="6"/>
      <c r="G3" s="8" t="s">
        <v>8</v>
      </c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7">
        <v>19.0</v>
      </c>
      <c r="C4" s="7">
        <v>16.0</v>
      </c>
      <c r="D4" s="6"/>
      <c r="E4" s="7">
        <v>3.0</v>
      </c>
      <c r="F4" s="6"/>
      <c r="G4" s="7" t="s">
        <v>10</v>
      </c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0"/>
      <c r="B5" s="6"/>
      <c r="C5" s="6"/>
      <c r="D5" s="6"/>
      <c r="E5" s="6"/>
      <c r="F5" s="6"/>
      <c r="G5" s="6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1" t="s">
        <v>11</v>
      </c>
      <c r="B6" s="7">
        <v>32.0</v>
      </c>
      <c r="C6" s="12">
        <v>29.0</v>
      </c>
      <c r="D6" s="13"/>
      <c r="E6" s="7">
        <v>3.0</v>
      </c>
      <c r="F6" s="6"/>
      <c r="G6" s="14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0"/>
    <col customWidth="1" min="2" max="4" width="21.33"/>
    <col customWidth="1" min="5" max="5" width="23.44"/>
    <col customWidth="1" min="6" max="6" width="24.56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5" t="s">
        <v>12</v>
      </c>
      <c r="B1" s="16"/>
      <c r="C1" s="16"/>
      <c r="D1" s="16"/>
      <c r="E1" s="16"/>
      <c r="F1" s="16"/>
      <c r="G1" s="17"/>
      <c r="H1" s="1"/>
      <c r="I1" s="1"/>
      <c r="J1" s="9"/>
      <c r="K1" s="18" t="s">
        <v>13</v>
      </c>
      <c r="L1" s="18" t="s">
        <v>14</v>
      </c>
      <c r="M1" s="18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16</v>
      </c>
      <c r="K2" s="20">
        <v>-1.0</v>
      </c>
      <c r="L2" s="20">
        <v>39.0</v>
      </c>
      <c r="M2" s="20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17</v>
      </c>
      <c r="B3" s="22" t="s">
        <v>18</v>
      </c>
      <c r="C3" s="16"/>
      <c r="D3" s="16"/>
      <c r="E3" s="16"/>
      <c r="F3" s="21" t="s">
        <v>19</v>
      </c>
      <c r="G3" s="20" t="s">
        <v>20</v>
      </c>
      <c r="H3" s="1"/>
      <c r="I3" s="1"/>
      <c r="J3" s="6" t="s">
        <v>21</v>
      </c>
      <c r="K3" s="20">
        <v>0.0</v>
      </c>
      <c r="L3" s="20">
        <v>40.0</v>
      </c>
      <c r="M3" s="20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22</v>
      </c>
      <c r="B4" s="22" t="s">
        <v>23</v>
      </c>
      <c r="C4" s="16"/>
      <c r="D4" s="16"/>
      <c r="E4" s="16"/>
      <c r="F4" s="21" t="s">
        <v>24</v>
      </c>
      <c r="G4" s="20" t="s">
        <v>25</v>
      </c>
      <c r="H4" s="1"/>
      <c r="I4" s="1"/>
      <c r="J4" s="6" t="s">
        <v>26</v>
      </c>
      <c r="K4" s="20">
        <v>1.0</v>
      </c>
      <c r="L4" s="20">
        <v>41.0</v>
      </c>
      <c r="M4" s="20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27</v>
      </c>
      <c r="B5" s="24" t="s">
        <v>28</v>
      </c>
      <c r="C5" s="16"/>
      <c r="D5" s="16"/>
      <c r="E5" s="17"/>
      <c r="F5" s="21" t="s">
        <v>29</v>
      </c>
      <c r="G5" s="25">
        <v>46149.0</v>
      </c>
      <c r="H5" s="1"/>
      <c r="I5" s="1"/>
      <c r="J5" s="6" t="s">
        <v>30</v>
      </c>
      <c r="K5" s="20">
        <v>35.0</v>
      </c>
      <c r="L5" s="20">
        <v>73.0</v>
      </c>
      <c r="M5" s="20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31</v>
      </c>
      <c r="K6" s="20">
        <v>99.0</v>
      </c>
      <c r="L6" s="20">
        <v>219.0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6" t="s">
        <v>32</v>
      </c>
      <c r="B7" s="27" t="s">
        <v>33</v>
      </c>
      <c r="C7" s="16"/>
      <c r="D7" s="17"/>
      <c r="E7" s="26" t="s">
        <v>34</v>
      </c>
      <c r="F7" s="26" t="s">
        <v>35</v>
      </c>
      <c r="G7" s="28" t="s">
        <v>36</v>
      </c>
      <c r="H7" s="1"/>
      <c r="I7" s="1"/>
      <c r="J7" s="6" t="s">
        <v>37</v>
      </c>
      <c r="K7" s="20">
        <v>100.0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8" t="s">
        <v>13</v>
      </c>
      <c r="C8" s="18" t="s">
        <v>14</v>
      </c>
      <c r="D8" s="18" t="s">
        <v>15</v>
      </c>
      <c r="E8" s="29"/>
      <c r="F8" s="29"/>
      <c r="G8" s="29"/>
      <c r="H8" s="1"/>
      <c r="I8" s="1"/>
      <c r="J8" s="6" t="s">
        <v>38</v>
      </c>
      <c r="K8" s="20">
        <v>101.0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0" t="s">
        <v>39</v>
      </c>
      <c r="B9" s="20">
        <v>0.0</v>
      </c>
      <c r="C9" s="20">
        <v>73.0</v>
      </c>
      <c r="D9" s="20">
        <v>15.0</v>
      </c>
      <c r="E9" s="10" t="str">
        <f t="shared" ref="E9:E21" si="1">LET(
  vo2_score, IF(B9&lt;25, 0, IF(B9&lt;=30, 1, IF(B9&lt;=40, 2, IF(B9&lt;=50, 3, IF(B9&lt;=60, 4, 5))))),
  rhr_score, IF(C9&lt;=60, 5, IF(C9&lt;=84, 3, 1)),
  hrr_score, IF(D9&lt;12, 1, IF(D9&lt;=18, 3, IF(D9&lt;=24, 4, 5))),
  total_score, vo2_score + rhr_score + hrr_score,
  group, IF(total_score&gt;=12, "Excellent", IF(total_score&gt;=6, "Standard", "Poor")),
  group &amp; " (" &amp; total_score &amp; " คะแนน)"
)</f>
        <v>Standard (6 คะแนน)</v>
      </c>
      <c r="F9" s="20" t="s">
        <v>40</v>
      </c>
      <c r="G9" s="20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0" t="s">
        <v>41</v>
      </c>
      <c r="B10" s="20">
        <v>1.0</v>
      </c>
      <c r="C10" s="20">
        <v>73.0</v>
      </c>
      <c r="D10" s="20">
        <v>15.0</v>
      </c>
      <c r="E10" s="10" t="str">
        <f t="shared" si="1"/>
        <v>Standard (6 คะแนน)</v>
      </c>
      <c r="F10" s="20" t="s">
        <v>40</v>
      </c>
      <c r="G10" s="20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0" t="s">
        <v>42</v>
      </c>
      <c r="B11" s="20">
        <v>35.0</v>
      </c>
      <c r="C11" s="20">
        <v>73.0</v>
      </c>
      <c r="D11" s="20">
        <v>15.0</v>
      </c>
      <c r="E11" s="10" t="str">
        <f t="shared" si="1"/>
        <v>Standard (8 คะแนน)</v>
      </c>
      <c r="F11" s="20" t="s">
        <v>43</v>
      </c>
      <c r="G11" s="20" t="s">
        <v>2</v>
      </c>
      <c r="H11" s="1"/>
      <c r="I11" s="1"/>
      <c r="J11" s="9"/>
      <c r="K11" s="9"/>
      <c r="L11" s="9"/>
      <c r="M11" s="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0" t="s">
        <v>44</v>
      </c>
      <c r="B12" s="20">
        <v>99.0</v>
      </c>
      <c r="C12" s="20">
        <v>73.0</v>
      </c>
      <c r="D12" s="20">
        <v>15.0</v>
      </c>
      <c r="E12" s="10" t="str">
        <f t="shared" si="1"/>
        <v>Standard (11 คะแนน)</v>
      </c>
      <c r="F12" s="20" t="s">
        <v>45</v>
      </c>
      <c r="G12" s="20" t="s">
        <v>2</v>
      </c>
      <c r="H12" s="1"/>
      <c r="I12" s="1"/>
      <c r="J12" s="9"/>
      <c r="K12" s="9"/>
      <c r="L12" s="9"/>
      <c r="M12" s="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0" t="s">
        <v>46</v>
      </c>
      <c r="B13" s="20">
        <v>100.0</v>
      </c>
      <c r="C13" s="20">
        <v>73.0</v>
      </c>
      <c r="D13" s="20">
        <v>15.0</v>
      </c>
      <c r="E13" s="10" t="str">
        <f t="shared" si="1"/>
        <v>Standard (11 คะแนน)</v>
      </c>
      <c r="F13" s="20" t="s">
        <v>45</v>
      </c>
      <c r="G13" s="20" t="s">
        <v>2</v>
      </c>
      <c r="H13" s="1"/>
      <c r="I13" s="1"/>
      <c r="J13" s="9"/>
      <c r="K13" s="9"/>
      <c r="L13" s="9"/>
      <c r="M13" s="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0" t="s">
        <v>47</v>
      </c>
      <c r="B14" s="20">
        <v>35.0</v>
      </c>
      <c r="C14" s="20">
        <v>40.0</v>
      </c>
      <c r="D14" s="20">
        <v>15.0</v>
      </c>
      <c r="E14" s="10" t="str">
        <f t="shared" si="1"/>
        <v>Standard (10 คะแนน)</v>
      </c>
      <c r="F14" s="20" t="s">
        <v>48</v>
      </c>
      <c r="G14" s="20" t="s">
        <v>2</v>
      </c>
      <c r="H14" s="1"/>
      <c r="I14" s="1"/>
      <c r="J14" s="9"/>
      <c r="K14" s="9"/>
      <c r="L14" s="9"/>
      <c r="M14" s="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0" t="s">
        <v>49</v>
      </c>
      <c r="B15" s="20">
        <v>35.0</v>
      </c>
      <c r="C15" s="20">
        <v>41.0</v>
      </c>
      <c r="D15" s="20">
        <v>15.0</v>
      </c>
      <c r="E15" s="10" t="str">
        <f t="shared" si="1"/>
        <v>Standard (10 คะแนน)</v>
      </c>
      <c r="F15" s="20" t="s">
        <v>48</v>
      </c>
      <c r="G15" s="20" t="s">
        <v>2</v>
      </c>
      <c r="H15" s="1"/>
      <c r="I15" s="1"/>
      <c r="J15" s="9"/>
      <c r="K15" s="9"/>
      <c r="L15" s="9"/>
      <c r="M15" s="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0" t="s">
        <v>50</v>
      </c>
      <c r="B16" s="20">
        <v>35.0</v>
      </c>
      <c r="C16" s="20">
        <v>219.0</v>
      </c>
      <c r="D16" s="20">
        <v>15.0</v>
      </c>
      <c r="E16" s="10" t="str">
        <f t="shared" si="1"/>
        <v>Standard (6 คะแนน)</v>
      </c>
      <c r="F16" s="20" t="s">
        <v>40</v>
      </c>
      <c r="G16" s="20" t="s">
        <v>2</v>
      </c>
      <c r="H16" s="1"/>
      <c r="I16" s="1"/>
      <c r="J16" s="9"/>
      <c r="K16" s="9"/>
      <c r="L16" s="9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0" t="s">
        <v>51</v>
      </c>
      <c r="B17" s="20">
        <v>35.0</v>
      </c>
      <c r="C17" s="20">
        <v>220.0</v>
      </c>
      <c r="D17" s="20">
        <v>15.0</v>
      </c>
      <c r="E17" s="10" t="str">
        <f t="shared" si="1"/>
        <v>Standard (6 คะแนน)</v>
      </c>
      <c r="F17" s="20" t="s">
        <v>40</v>
      </c>
      <c r="G17" s="20" t="s">
        <v>2</v>
      </c>
      <c r="H17" s="1"/>
      <c r="I17" s="1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0" t="s">
        <v>52</v>
      </c>
      <c r="B18" s="20">
        <v>35.0</v>
      </c>
      <c r="C18" s="20">
        <v>73.0</v>
      </c>
      <c r="D18" s="20">
        <v>0.0</v>
      </c>
      <c r="E18" s="10" t="str">
        <f t="shared" si="1"/>
        <v>Standard (6 คะแนน)</v>
      </c>
      <c r="F18" s="20" t="s">
        <v>40</v>
      </c>
      <c r="G18" s="20" t="s">
        <v>2</v>
      </c>
      <c r="H18" s="1"/>
      <c r="I18" s="1"/>
      <c r="J18" s="9"/>
      <c r="K18" s="9"/>
      <c r="L18" s="9"/>
      <c r="M18" s="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0" t="s">
        <v>53</v>
      </c>
      <c r="B19" s="20">
        <v>35.0</v>
      </c>
      <c r="C19" s="20">
        <v>73.0</v>
      </c>
      <c r="D19" s="20">
        <v>1.0</v>
      </c>
      <c r="E19" s="10" t="str">
        <f t="shared" si="1"/>
        <v>Standard (6 คะแนน)</v>
      </c>
      <c r="F19" s="20" t="s">
        <v>40</v>
      </c>
      <c r="G19" s="20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0" t="s">
        <v>54</v>
      </c>
      <c r="B20" s="20">
        <v>35.0</v>
      </c>
      <c r="C20" s="20">
        <v>73.0</v>
      </c>
      <c r="D20" s="20">
        <v>29.0</v>
      </c>
      <c r="E20" s="10" t="str">
        <f t="shared" si="1"/>
        <v>Standard (10 คะแนน)</v>
      </c>
      <c r="F20" s="20" t="s">
        <v>48</v>
      </c>
      <c r="G20" s="20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0" t="s">
        <v>55</v>
      </c>
      <c r="B21" s="20">
        <v>35.0</v>
      </c>
      <c r="C21" s="20">
        <v>73.0</v>
      </c>
      <c r="D21" s="20">
        <v>30.0</v>
      </c>
      <c r="E21" s="10" t="str">
        <f t="shared" si="1"/>
        <v>Standard (10 คะแนน)</v>
      </c>
      <c r="F21" s="20" t="s">
        <v>48</v>
      </c>
      <c r="G21" s="20" t="s">
        <v>2</v>
      </c>
      <c r="H21" s="1"/>
      <c r="I21" s="1"/>
      <c r="J21" s="9"/>
      <c r="K21" s="9"/>
      <c r="L21" s="9"/>
      <c r="M21" s="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E22" s="1"/>
      <c r="F22" s="1"/>
      <c r="G22" s="1"/>
      <c r="H22" s="1"/>
      <c r="I22" s="1"/>
      <c r="J22" s="9"/>
      <c r="K22" s="9"/>
      <c r="L22" s="9"/>
      <c r="M22" s="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9"/>
      <c r="K23" s="9"/>
      <c r="L23" s="9"/>
      <c r="M23" s="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9"/>
      <c r="K24" s="9"/>
      <c r="L24" s="9"/>
      <c r="M24" s="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9"/>
      <c r="K25" s="9"/>
      <c r="L25" s="9"/>
      <c r="M25" s="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9"/>
      <c r="K26" s="9"/>
      <c r="L26" s="9"/>
      <c r="M26" s="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9"/>
      <c r="K28" s="9"/>
      <c r="L28" s="9"/>
      <c r="M28" s="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5.78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5" t="s">
        <v>12</v>
      </c>
      <c r="B1" s="16"/>
      <c r="C1" s="16"/>
      <c r="D1" s="16"/>
      <c r="E1" s="16"/>
      <c r="F1" s="16"/>
      <c r="G1" s="17"/>
      <c r="H1" s="1"/>
      <c r="I1" s="1"/>
      <c r="J1" s="9"/>
      <c r="K1" s="18" t="s">
        <v>13</v>
      </c>
      <c r="L1" s="18" t="s">
        <v>14</v>
      </c>
      <c r="M1" s="18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16</v>
      </c>
      <c r="K2" s="20">
        <v>-1.0</v>
      </c>
      <c r="L2" s="20">
        <v>39.0</v>
      </c>
      <c r="M2" s="20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17</v>
      </c>
      <c r="B3" s="22" t="s">
        <v>56</v>
      </c>
      <c r="C3" s="16"/>
      <c r="D3" s="16"/>
      <c r="E3" s="16"/>
      <c r="F3" s="21" t="s">
        <v>19</v>
      </c>
      <c r="G3" s="20" t="s">
        <v>20</v>
      </c>
      <c r="H3" s="1"/>
      <c r="I3" s="1"/>
      <c r="J3" s="6" t="s">
        <v>21</v>
      </c>
      <c r="K3" s="20">
        <v>0.0</v>
      </c>
      <c r="L3" s="20">
        <v>40.0</v>
      </c>
      <c r="M3" s="20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22</v>
      </c>
      <c r="B4" s="22" t="s">
        <v>57</v>
      </c>
      <c r="C4" s="16"/>
      <c r="D4" s="16"/>
      <c r="E4" s="16"/>
      <c r="F4" s="21" t="s">
        <v>24</v>
      </c>
      <c r="G4" s="20" t="s">
        <v>25</v>
      </c>
      <c r="H4" s="1"/>
      <c r="I4" s="1"/>
      <c r="J4" s="6" t="s">
        <v>26</v>
      </c>
      <c r="K4" s="20">
        <v>1.0</v>
      </c>
      <c r="L4" s="20">
        <v>41.0</v>
      </c>
      <c r="M4" s="20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27</v>
      </c>
      <c r="B5" s="24" t="s">
        <v>28</v>
      </c>
      <c r="C5" s="16"/>
      <c r="D5" s="16"/>
      <c r="E5" s="17"/>
      <c r="F5" s="21" t="s">
        <v>29</v>
      </c>
      <c r="G5" s="25">
        <v>46149.0</v>
      </c>
      <c r="H5" s="1"/>
      <c r="I5" s="1"/>
      <c r="J5" s="6" t="s">
        <v>30</v>
      </c>
      <c r="K5" s="20">
        <v>35.0</v>
      </c>
      <c r="L5" s="20">
        <v>73.0</v>
      </c>
      <c r="M5" s="20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31</v>
      </c>
      <c r="K6" s="20">
        <v>99.0</v>
      </c>
      <c r="L6" s="20">
        <v>219.0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6" t="s">
        <v>32</v>
      </c>
      <c r="B7" s="27" t="s">
        <v>33</v>
      </c>
      <c r="C7" s="16"/>
      <c r="D7" s="17"/>
      <c r="E7" s="26" t="s">
        <v>34</v>
      </c>
      <c r="F7" s="26" t="s">
        <v>35</v>
      </c>
      <c r="G7" s="28" t="s">
        <v>36</v>
      </c>
      <c r="H7" s="1"/>
      <c r="I7" s="1"/>
      <c r="J7" s="6" t="s">
        <v>37</v>
      </c>
      <c r="K7" s="20">
        <v>100.0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8" t="s">
        <v>13</v>
      </c>
      <c r="C8" s="18" t="s">
        <v>14</v>
      </c>
      <c r="D8" s="18" t="s">
        <v>15</v>
      </c>
      <c r="E8" s="29"/>
      <c r="F8" s="29"/>
      <c r="G8" s="29"/>
      <c r="H8" s="1"/>
      <c r="I8" s="1"/>
      <c r="J8" s="6" t="s">
        <v>38</v>
      </c>
      <c r="K8" s="20">
        <v>101.0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0" t="s">
        <v>39</v>
      </c>
      <c r="B9" s="20">
        <v>-1.0</v>
      </c>
      <c r="C9" s="20">
        <v>73.0</v>
      </c>
      <c r="D9" s="20">
        <v>15.0</v>
      </c>
      <c r="E9" s="30" t="str">
        <f t="shared" ref="E9:E27" si="1">LET(
  vo2_score, IF(B9&lt;25, 0, IF(B9&lt;=30, 1, IF(B9&lt;=40, 2, IF(B9&lt;=50, 3, IF(B9&lt;=60, 4, 5))))),
  rhr_score, IF(C9&lt;=60, 5, IF(C9&lt;=84, 3, 1)),
  hrr_score, IF(D9&lt;12, 1, IF(D9&lt;=18, 3, IF(D9&lt;=24, 4, 5))),
  total_score, vo2_score + rhr_score + hrr_score,
  group, IF(total_score&gt;=12, "Excellent", IF(total_score&gt;=6, "Standard", "Poor")),
  group &amp; " (" &amp; total_score &amp; " คะแนน)"
)</f>
        <v>Standard (6 คะแนน)</v>
      </c>
      <c r="F9" s="31" t="s">
        <v>58</v>
      </c>
      <c r="G9" s="20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0" t="s">
        <v>41</v>
      </c>
      <c r="B10" s="20">
        <v>0.0</v>
      </c>
      <c r="C10" s="20">
        <v>73.0</v>
      </c>
      <c r="D10" s="20">
        <v>15.0</v>
      </c>
      <c r="E10" s="30" t="str">
        <f t="shared" si="1"/>
        <v>Standard (6 คะแนน)</v>
      </c>
      <c r="F10" s="20" t="s">
        <v>40</v>
      </c>
      <c r="G10" s="20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0" t="s">
        <v>42</v>
      </c>
      <c r="B11" s="20">
        <v>1.0</v>
      </c>
      <c r="C11" s="20">
        <v>73.0</v>
      </c>
      <c r="D11" s="20">
        <v>15.0</v>
      </c>
      <c r="E11" s="30" t="str">
        <f t="shared" si="1"/>
        <v>Standard (6 คะแนน)</v>
      </c>
      <c r="F11" s="20" t="s">
        <v>40</v>
      </c>
      <c r="G11" s="20" t="s">
        <v>2</v>
      </c>
      <c r="H11" s="1"/>
      <c r="I11" s="1"/>
      <c r="J11" s="9"/>
      <c r="K11" s="9"/>
      <c r="L11" s="9"/>
      <c r="M11" s="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0" t="s">
        <v>44</v>
      </c>
      <c r="B12" s="20">
        <v>35.0</v>
      </c>
      <c r="C12" s="20">
        <v>73.0</v>
      </c>
      <c r="D12" s="20">
        <v>15.0</v>
      </c>
      <c r="E12" s="30" t="str">
        <f t="shared" si="1"/>
        <v>Standard (8 คะแนน)</v>
      </c>
      <c r="F12" s="20" t="s">
        <v>43</v>
      </c>
      <c r="G12" s="20" t="s">
        <v>2</v>
      </c>
      <c r="H12" s="1"/>
      <c r="I12" s="1"/>
      <c r="J12" s="9"/>
      <c r="K12" s="9"/>
      <c r="L12" s="9"/>
      <c r="M12" s="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0" t="s">
        <v>46</v>
      </c>
      <c r="B13" s="20">
        <v>99.0</v>
      </c>
      <c r="C13" s="20">
        <v>73.0</v>
      </c>
      <c r="D13" s="20">
        <v>15.0</v>
      </c>
      <c r="E13" s="30" t="str">
        <f t="shared" si="1"/>
        <v>Standard (11 คะแนน)</v>
      </c>
      <c r="F13" s="20" t="s">
        <v>45</v>
      </c>
      <c r="G13" s="20" t="s">
        <v>2</v>
      </c>
      <c r="H13" s="1"/>
      <c r="I13" s="1"/>
      <c r="J13" s="9"/>
      <c r="K13" s="9"/>
      <c r="L13" s="9"/>
      <c r="M13" s="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0" t="s">
        <v>47</v>
      </c>
      <c r="B14" s="20">
        <v>100.0</v>
      </c>
      <c r="C14" s="20">
        <v>73.0</v>
      </c>
      <c r="D14" s="20">
        <v>15.0</v>
      </c>
      <c r="E14" s="30" t="str">
        <f t="shared" si="1"/>
        <v>Standard (11 คะแนน)</v>
      </c>
      <c r="F14" s="20" t="s">
        <v>45</v>
      </c>
      <c r="G14" s="20" t="s">
        <v>2</v>
      </c>
      <c r="H14" s="1"/>
      <c r="I14" s="1"/>
      <c r="J14" s="9"/>
      <c r="K14" s="9"/>
      <c r="L14" s="9"/>
      <c r="M14" s="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0" t="s">
        <v>49</v>
      </c>
      <c r="B15" s="20">
        <v>101.0</v>
      </c>
      <c r="C15" s="20">
        <v>73.0</v>
      </c>
      <c r="D15" s="20">
        <v>15.0</v>
      </c>
      <c r="E15" s="30" t="str">
        <f t="shared" si="1"/>
        <v>Standard (11 คะแนน)</v>
      </c>
      <c r="F15" s="20" t="s">
        <v>45</v>
      </c>
      <c r="G15" s="20" t="s">
        <v>2</v>
      </c>
      <c r="H15" s="1"/>
      <c r="I15" s="1"/>
      <c r="J15" s="9"/>
      <c r="K15" s="9"/>
      <c r="L15" s="9"/>
      <c r="M15" s="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0" t="s">
        <v>50</v>
      </c>
      <c r="B16" s="20">
        <v>35.0</v>
      </c>
      <c r="C16" s="20">
        <v>39.0</v>
      </c>
      <c r="D16" s="20">
        <v>15.0</v>
      </c>
      <c r="E16" s="30" t="str">
        <f t="shared" si="1"/>
        <v>Standard (10 คะแนน)</v>
      </c>
      <c r="F16" s="31" t="s">
        <v>58</v>
      </c>
      <c r="G16" s="20" t="s">
        <v>4</v>
      </c>
      <c r="H16" s="1"/>
      <c r="I16" s="1"/>
      <c r="J16" s="9"/>
      <c r="K16" s="9"/>
      <c r="L16" s="9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0" t="s">
        <v>51</v>
      </c>
      <c r="B17" s="20">
        <v>35.0</v>
      </c>
      <c r="C17" s="20">
        <v>40.0</v>
      </c>
      <c r="D17" s="20">
        <v>15.0</v>
      </c>
      <c r="E17" s="30" t="str">
        <f t="shared" si="1"/>
        <v>Standard (10 คะแนน)</v>
      </c>
      <c r="F17" s="20" t="s">
        <v>48</v>
      </c>
      <c r="G17" s="20" t="s">
        <v>2</v>
      </c>
      <c r="H17" s="1"/>
      <c r="I17" s="1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0" t="s">
        <v>52</v>
      </c>
      <c r="B18" s="20">
        <v>35.0</v>
      </c>
      <c r="C18" s="20">
        <v>41.0</v>
      </c>
      <c r="D18" s="20">
        <v>15.0</v>
      </c>
      <c r="E18" s="30" t="str">
        <f t="shared" si="1"/>
        <v>Standard (10 คะแนน)</v>
      </c>
      <c r="F18" s="20" t="s">
        <v>48</v>
      </c>
      <c r="G18" s="20" t="s">
        <v>2</v>
      </c>
      <c r="H18" s="1"/>
      <c r="I18" s="1"/>
      <c r="J18" s="9"/>
      <c r="K18" s="9"/>
      <c r="L18" s="9"/>
      <c r="M18" s="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0" t="s">
        <v>53</v>
      </c>
      <c r="B19" s="32">
        <v>35.0</v>
      </c>
      <c r="C19" s="32">
        <v>219.0</v>
      </c>
      <c r="D19" s="32">
        <v>15.0</v>
      </c>
      <c r="E19" s="30" t="str">
        <f t="shared" si="1"/>
        <v>Standard (6 คะแนน)</v>
      </c>
      <c r="F19" s="20" t="s">
        <v>40</v>
      </c>
      <c r="G19" s="20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0" t="s">
        <v>54</v>
      </c>
      <c r="B20" s="32">
        <v>35.0</v>
      </c>
      <c r="C20" s="32">
        <v>220.0</v>
      </c>
      <c r="D20" s="32">
        <v>15.0</v>
      </c>
      <c r="E20" s="30" t="str">
        <f t="shared" si="1"/>
        <v>Standard (6 คะแนน)</v>
      </c>
      <c r="F20" s="20" t="s">
        <v>40</v>
      </c>
      <c r="G20" s="20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3" t="s">
        <v>55</v>
      </c>
      <c r="B21" s="32">
        <v>35.0</v>
      </c>
      <c r="C21" s="32">
        <v>221.0</v>
      </c>
      <c r="D21" s="32">
        <v>15.0</v>
      </c>
      <c r="E21" s="30" t="str">
        <f t="shared" si="1"/>
        <v>Standard (6 คะแนน)</v>
      </c>
      <c r="F21" s="20" t="s">
        <v>40</v>
      </c>
      <c r="G21" s="20" t="s">
        <v>2</v>
      </c>
      <c r="H21" s="1"/>
      <c r="I21" s="1"/>
      <c r="J21" s="9"/>
      <c r="K21" s="9"/>
      <c r="L21" s="9"/>
      <c r="M21" s="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0" t="s">
        <v>59</v>
      </c>
      <c r="B22" s="32">
        <v>35.0</v>
      </c>
      <c r="C22" s="32">
        <v>73.0</v>
      </c>
      <c r="D22" s="32">
        <v>-1.0</v>
      </c>
      <c r="E22" s="30" t="str">
        <f t="shared" si="1"/>
        <v>Standard (6 คะแนน)</v>
      </c>
      <c r="F22" s="31" t="s">
        <v>58</v>
      </c>
      <c r="G22" s="20" t="s">
        <v>4</v>
      </c>
      <c r="H22" s="1"/>
      <c r="I22" s="1"/>
      <c r="J22" s="9"/>
      <c r="K22" s="9"/>
      <c r="L22" s="9"/>
      <c r="M22" s="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0" t="s">
        <v>60</v>
      </c>
      <c r="B23" s="32">
        <v>35.0</v>
      </c>
      <c r="C23" s="32">
        <v>73.0</v>
      </c>
      <c r="D23" s="32">
        <v>0.0</v>
      </c>
      <c r="E23" s="30" t="str">
        <f t="shared" si="1"/>
        <v>Standard (6 คะแนน)</v>
      </c>
      <c r="F23" s="20" t="s">
        <v>40</v>
      </c>
      <c r="G23" s="20" t="s">
        <v>2</v>
      </c>
      <c r="H23" s="1"/>
      <c r="I23" s="1"/>
      <c r="J23" s="9"/>
      <c r="K23" s="9"/>
      <c r="L23" s="9"/>
      <c r="M23" s="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0" t="s">
        <v>61</v>
      </c>
      <c r="B24" s="32">
        <v>35.0</v>
      </c>
      <c r="C24" s="32">
        <v>73.0</v>
      </c>
      <c r="D24" s="32">
        <v>1.0</v>
      </c>
      <c r="E24" s="30" t="str">
        <f t="shared" si="1"/>
        <v>Standard (6 คะแนน)</v>
      </c>
      <c r="F24" s="20" t="s">
        <v>40</v>
      </c>
      <c r="G24" s="20" t="s">
        <v>2</v>
      </c>
      <c r="H24" s="1"/>
      <c r="I24" s="1"/>
      <c r="J24" s="9"/>
      <c r="K24" s="9"/>
      <c r="L24" s="9"/>
      <c r="M24" s="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0" t="s">
        <v>62</v>
      </c>
      <c r="B25" s="20">
        <v>35.0</v>
      </c>
      <c r="C25" s="20">
        <v>73.0</v>
      </c>
      <c r="D25" s="20">
        <v>29.0</v>
      </c>
      <c r="E25" s="30" t="str">
        <f t="shared" si="1"/>
        <v>Standard (10 คะแนน)</v>
      </c>
      <c r="F25" s="20" t="s">
        <v>48</v>
      </c>
      <c r="G25" s="20" t="s">
        <v>2</v>
      </c>
      <c r="H25" s="1"/>
      <c r="I25" s="1"/>
      <c r="J25" s="9"/>
      <c r="K25" s="9"/>
      <c r="L25" s="9"/>
      <c r="M25" s="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0" t="s">
        <v>63</v>
      </c>
      <c r="B26" s="20">
        <v>35.0</v>
      </c>
      <c r="C26" s="20">
        <v>73.0</v>
      </c>
      <c r="D26" s="20">
        <v>30.0</v>
      </c>
      <c r="E26" s="30" t="str">
        <f t="shared" si="1"/>
        <v>Standard (10 คะแนน)</v>
      </c>
      <c r="F26" s="20" t="s">
        <v>48</v>
      </c>
      <c r="G26" s="20" t="s">
        <v>2</v>
      </c>
      <c r="H26" s="1"/>
      <c r="I26" s="1"/>
      <c r="J26" s="9"/>
      <c r="K26" s="9"/>
      <c r="L26" s="9"/>
      <c r="M26" s="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0" t="s">
        <v>64</v>
      </c>
      <c r="B27" s="20">
        <v>35.0</v>
      </c>
      <c r="C27" s="20">
        <v>73.0</v>
      </c>
      <c r="D27" s="20">
        <v>31.0</v>
      </c>
      <c r="E27" s="30" t="str">
        <f t="shared" si="1"/>
        <v>Standard (10 คะแนน)</v>
      </c>
      <c r="F27" s="20" t="s">
        <v>48</v>
      </c>
      <c r="G27" s="20" t="s">
        <v>2</v>
      </c>
      <c r="H27" s="1"/>
      <c r="I27" s="1"/>
      <c r="J27" s="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34"/>
      <c r="C28" s="34"/>
      <c r="D28" s="34"/>
      <c r="E28" s="1"/>
      <c r="F28" s="1"/>
      <c r="G28" s="1"/>
      <c r="H28" s="1"/>
      <c r="I28" s="1"/>
      <c r="J28" s="9"/>
      <c r="K28" s="9"/>
      <c r="L28" s="9"/>
      <c r="M28" s="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34"/>
      <c r="C29" s="34"/>
      <c r="D29" s="3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42.56"/>
    <col customWidth="1" min="4" max="4" width="17.33"/>
    <col customWidth="1" min="5" max="5" width="20.56"/>
    <col customWidth="1" min="6" max="6" width="24.22"/>
    <col customWidth="1" min="7" max="9" width="10.78"/>
    <col customWidth="1" min="10" max="10" width="15.11"/>
    <col customWidth="1" min="11" max="11" width="76.33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5" t="s">
        <v>65</v>
      </c>
      <c r="B2" s="35" t="s">
        <v>66</v>
      </c>
      <c r="C2" s="35" t="s">
        <v>67</v>
      </c>
      <c r="D2" s="36" t="s">
        <v>68</v>
      </c>
      <c r="E2" s="35" t="s">
        <v>69</v>
      </c>
      <c r="F2" s="35" t="s">
        <v>70</v>
      </c>
      <c r="G2" s="35" t="s">
        <v>71</v>
      </c>
      <c r="H2" s="35" t="s">
        <v>72</v>
      </c>
      <c r="I2" s="35" t="s">
        <v>73</v>
      </c>
      <c r="J2" s="35" t="s">
        <v>74</v>
      </c>
      <c r="K2" s="35" t="s">
        <v>75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7">
        <v>1.0</v>
      </c>
      <c r="B3" s="38" t="s">
        <v>76</v>
      </c>
      <c r="C3" s="38" t="s">
        <v>77</v>
      </c>
      <c r="D3" s="39">
        <v>46147.0</v>
      </c>
      <c r="E3" s="40"/>
      <c r="F3" s="38" t="s">
        <v>78</v>
      </c>
      <c r="G3" s="38" t="s">
        <v>79</v>
      </c>
      <c r="H3" s="38" t="s">
        <v>80</v>
      </c>
      <c r="I3" s="38" t="s">
        <v>81</v>
      </c>
      <c r="J3" s="40"/>
      <c r="K3" s="38" t="s">
        <v>82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37">
        <v>1.0</v>
      </c>
      <c r="B4" s="38" t="s">
        <v>83</v>
      </c>
      <c r="C4" s="38" t="s">
        <v>84</v>
      </c>
      <c r="D4" s="39">
        <v>46148.0</v>
      </c>
      <c r="E4" s="40"/>
      <c r="F4" s="38" t="s">
        <v>78</v>
      </c>
      <c r="G4" s="38" t="s">
        <v>79</v>
      </c>
      <c r="H4" s="38" t="s">
        <v>85</v>
      </c>
      <c r="I4" s="38" t="s">
        <v>86</v>
      </c>
      <c r="J4" s="40"/>
      <c r="K4" s="38" t="s">
        <v>87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37">
        <v>1.0</v>
      </c>
      <c r="B5" s="38" t="s">
        <v>88</v>
      </c>
      <c r="C5" s="20" t="s">
        <v>89</v>
      </c>
      <c r="D5" s="39">
        <v>46149.0</v>
      </c>
      <c r="E5" s="41"/>
      <c r="F5" s="38" t="s">
        <v>78</v>
      </c>
      <c r="G5" s="38" t="s">
        <v>79</v>
      </c>
      <c r="H5" s="38" t="s">
        <v>80</v>
      </c>
      <c r="I5" s="38" t="s">
        <v>81</v>
      </c>
      <c r="J5" s="41"/>
      <c r="K5" s="20" t="s">
        <v>90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3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3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